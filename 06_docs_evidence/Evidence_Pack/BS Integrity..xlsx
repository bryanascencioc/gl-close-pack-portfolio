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30df2eced47246/Documentos/Githubpublic/GL_close_portfolio/06_docs_evidence/Evidence_Pack/"/>
    </mc:Choice>
  </mc:AlternateContent>
  <xr:revisionPtr revIDLastSave="0" documentId="8_{5702CE2E-914C-43A7-AB88-556B3D31890B}" xr6:coauthVersionLast="47" xr6:coauthVersionMax="47" xr10:uidLastSave="{00000000-0000-0000-0000-000000000000}"/>
  <bookViews>
    <workbookView xWindow="-120" yWindow="-120" windowWidth="20730" windowHeight="11040" xr2:uid="{7A2CB678-1363-4A60-AB21-95600A038E4E}"/>
  </bookViews>
  <sheets>
    <sheet name="BS Integrity" sheetId="1" r:id="rId1"/>
  </sheets>
  <externalReferences>
    <externalReference r:id="rId2"/>
  </externalReferences>
  <definedNames>
    <definedName name="ExternalData_1" localSheetId="0" hidden="1">'BS Integrity'!$A$8:$M$9</definedName>
    <definedName name="ExternalData_2" localSheetId="0" hidden="1">'BS Integrity'!$A$13:$F$14</definedName>
    <definedName name="pClosePeriod">'[1]00_Params'!$B$2</definedName>
    <definedName name="pEntity">'[1]00_Params'!$B$3</definedName>
    <definedName name="pTolerance">'[1]00_Params'!$B$5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 s="1"/>
  <c r="E3" i="1" s="1"/>
  <c r="B3" i="1"/>
  <c r="C2" i="1"/>
  <c r="B2" i="1"/>
  <c r="D2" i="1" l="1"/>
  <c r="E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E7FDC7-120B-49D3-817B-EF374E2E8398}" keepAlive="1" name="Query - BankStatementHeader" description="Connection to the 'BankStatementHeader' query in the workbook." type="5" refreshedVersion="0" background="1">
    <dbPr connection="Provider=Microsoft.Mashup.OleDb.1;Data Source=$Workbook$;Location=BankStatementHeader;Extended Properties=&quot;&quot;" command="SELECT * FROM [BankStatementHeader]"/>
  </connection>
  <connection id="2" xr16:uid="{5636856B-92E9-400B-962A-E10E3FBEB255}" keepAlive="1" name="Query - BankStatementHeader (2)" description="Connection to the 'BankStatementHeader (2)' query in the workbook." type="5" refreshedVersion="8" background="1" saveData="1">
    <dbPr connection="Provider=Microsoft.Mashup.OleDb.1;Data Source=$Workbook$;Location=&quot;BankStatementHeader (2)&quot;;Extended Properties=&quot;&quot;" command="SELECT * FROM [BankStatementHeader (2)]"/>
  </connection>
  <connection id="3" xr16:uid="{ABBF2EA6-3B91-44B5-B4BD-7566B98F4ADC}" keepAlive="1" name="Query - Cash tie-out (Bank vs GL Cash)" description="Connection to the 'Cash tie-out (Bank vs GL Cash)' query in the workbook." type="5" refreshedVersion="8" background="1" saveData="1">
    <dbPr connection="Provider=Microsoft.Mashup.OleDb.1;Data Source=$Workbook$;Location=&quot;Cash tie-out (Bank vs GL Cash)&quot;;Extended Properties=&quot;&quot;" command="SELECT * FROM [Cash tie-out (Bank vs GL Cash)]"/>
  </connection>
  <connection id="4" xr16:uid="{1735F33E-A51D-4C3E-BB1C-348596454C00}" keepAlive="1" name="Query - dAccount" description="Connection to the 'dAccount' query in the workbook." type="5" refreshedVersion="0" background="1">
    <dbPr connection="Provider=Microsoft.Mashup.OleDb.1;Data Source=$Workbook$;Location=dAccount;Extended Properties=&quot;&quot;" command="SELECT * FROM [dAccount]"/>
  </connection>
  <connection id="5" xr16:uid="{6B929B47-D42D-4794-A8D2-8F02C2B8E10A}" keepAlive="1" name="Query - dBankAccount" description="Connection to the 'dBankAccount' query in the workbook." type="5" refreshedVersion="0" background="1">
    <dbPr connection="Provider=Microsoft.Mashup.OleDb.1;Data Source=$Workbook$;Location=dBankAccount;Extended Properties=&quot;&quot;" command="SELECT * FROM [dBankAccount]"/>
  </connection>
  <connection id="6" xr16:uid="{B0B6DF48-965D-4D15-8D79-C7D5F0298535}" keepAlive="1" name="Query - dBankAccount (2)" description="Connection to the 'dBankAccount (2)' query in the workbook." type="5" refreshedVersion="0" background="1">
    <dbPr connection="Provider=Microsoft.Mashup.OleDb.1;Data Source=$Workbook$;Location=&quot;dBankAccount (2)&quot;;Extended Properties=&quot;&quot;" command="SELECT * FROM [dBankAccount (2)]"/>
  </connection>
  <connection id="7" xr16:uid="{09723857-69C7-46C5-BF6D-A1D43B25AEF1}" keepAlive="1" name="Query - dEntity" description="Connection to the 'dEntity' query in the workbook." type="5" refreshedVersion="0" background="1">
    <dbPr connection="Provider=Microsoft.Mashup.OleDb.1;Data Source=$Workbook$;Location=dEntity;Extended Properties=&quot;&quot;" command="SELECT * FROM [dEntity]"/>
  </connection>
  <connection id="8" xr16:uid="{E794F8C9-2F70-4060-8519-A4839A23492F}" keepAlive="1" name="Query - dEntity (2)" description="Connection to the 'dEntity (2)' query in the workbook." type="5" refreshedVersion="0" background="1">
    <dbPr connection="Provider=Microsoft.Mashup.OleDb.1;Data Source=$Workbook$;Location=&quot;dEntity (2)&quot;;Extended Properties=&quot;&quot;" command="SELECT * FROM [dEntity (2)]"/>
  </connection>
  <connection id="9" xr16:uid="{AA7B0274-3EC6-4C70-B551-BEBC434EFA6D}" keepAlive="1" name="Query - fBank" description="Connection to the 'fBank' query in the workbook." type="5" refreshedVersion="0" background="1">
    <dbPr connection="Provider=Microsoft.Mashup.OleDb.1;Data Source=$Workbook$;Location=fBank;Extended Properties=&quot;&quot;" command="SELECT * FROM [fBank]"/>
  </connection>
  <connection id="10" xr16:uid="{5F03F7BE-1A57-4C2A-99EB-2F39FFD2F566}" keepAlive="1" name="Query - fBank (2)" description="Connection to the 'fBank (2)' query in the workbook." type="5" refreshedVersion="0" background="1">
    <dbPr connection="Provider=Microsoft.Mashup.OleDb.1;Data Source=$Workbook$;Location=&quot;fBank (2)&quot;;Extended Properties=&quot;&quot;" command="SELECT * FROM [fBank (2)]"/>
  </connection>
  <connection id="11" xr16:uid="{EF850B63-0F7C-4453-AEDF-DD8CF8BA908E}" keepAlive="1" name="Query - fGL_AllPeriods" description="Connection to the 'fGL_AllPeriods' query in the workbook." type="5" refreshedVersion="0" background="1">
    <dbPr connection="Provider=Microsoft.Mashup.OleDb.1;Data Source=$Workbook$;Location=fGL_AllPeriods;Extended Properties=&quot;&quot;" command="SELECT * FROM [fGL_AllPeriods]"/>
  </connection>
  <connection id="12" xr16:uid="{1B24285F-DE42-4AC4-A04D-552911EE8430}" keepAlive="1" name="Query - pEntity" description="Connection to the 'pEntity' query in the workbook." type="5" refreshedVersion="0" background="1">
    <dbPr connection="Provider=Microsoft.Mashup.OleDb.1;Data Source=$Workbook$;Location=pEntity;Extended Properties=&quot;&quot;" command="SELECT * FROM [pEntity]"/>
  </connection>
  <connection id="13" xr16:uid="{9F00558B-B24B-46FD-A456-BF1D499A0FFE}" keepAlive="1" name="Query - qGL_2024_12" description="Connection to the 'qGL_2024_12' query in the workbook." type="5" refreshedVersion="0" background="1">
    <dbPr connection="Provider=Microsoft.Mashup.OleDb.1;Data Source=$Workbook$;Location=qGL_2024_12;Extended Properties=&quot;&quot;" command="SELECT * FROM [qGL_2024_12]"/>
  </connection>
  <connection id="14" xr16:uid="{AB214372-C47C-479B-9833-B532C767C3A1}" keepAlive="1" name="Query - qGL_2025_01" description="Connection to the 'qGL_2025_01' query in the workbook." type="5" refreshedVersion="0" background="1">
    <dbPr connection="Provider=Microsoft.Mashup.OleDb.1;Data Source=$Workbook$;Location=qGL_2025_01;Extended Properties=&quot;&quot;" command="SELECT * FROM [qGL_2025_01]"/>
  </connection>
  <connection id="15" xr16:uid="{9F2B7965-F50A-4F5A-9C58-C42DA684C507}" keepAlive="1" name="Query - qGL_AllPeriods" description="Connection to the 'qGL_AllPeriods' query in the workbook." type="5" refreshedVersion="0" background="1">
    <dbPr connection="Provider=Microsoft.Mashup.OleDb.1;Data Source=$Workbook$;Location=qGL_AllPeriods;Extended Properties=&quot;&quot;" command="SELECT * FROM [qGL_AllPeriods]"/>
  </connection>
  <connection id="16" xr16:uid="{E720DAE2-2FFF-40AA-ACF4-EAF0F9BD54BD}" keepAlive="1" name="Query - qGL_ByAccount" description="Connection to the 'qGL_ByAccount' query in the workbook." type="5" refreshedVersion="0" background="1">
    <dbPr connection="Provider=Microsoft.Mashup.OleDb.1;Data Source=$Workbook$;Location=qGL_ByAccount;Extended Properties=&quot;&quot;" command="SELECT * FROM [qGL_ByAccount]"/>
  </connection>
</connections>
</file>

<file path=xl/sharedStrings.xml><?xml version="1.0" encoding="utf-8"?>
<sst xmlns="http://schemas.openxmlformats.org/spreadsheetml/2006/main" count="38" uniqueCount="35">
  <si>
    <t xml:space="preserve"> Check</t>
  </si>
  <si>
    <t xml:space="preserve"> Subledger_Total</t>
  </si>
  <si>
    <t xml:space="preserve"> GL_Total</t>
  </si>
  <si>
    <t xml:space="preserve"> Difference</t>
  </si>
  <si>
    <t xml:space="preserve"> Status</t>
  </si>
  <si>
    <t xml:space="preserve"> AR control (AR vs GL 43x)</t>
  </si>
  <si>
    <t xml:space="preserve"> AP control (AP vs GL 40x/41x)</t>
  </si>
  <si>
    <t>Bank Statement Header</t>
  </si>
  <si>
    <t>ClosePeriod</t>
  </si>
  <si>
    <t>Entity</t>
  </si>
  <si>
    <t>Currency</t>
  </si>
  <si>
    <t>BankAccountKey</t>
  </si>
  <si>
    <t>Account</t>
  </si>
  <si>
    <t>NetMovement</t>
  </si>
  <si>
    <t>TxnCount</t>
  </si>
  <si>
    <t>FirstTxnDate</t>
  </si>
  <si>
    <t>LastTxnDate</t>
  </si>
  <si>
    <t>OpeningBalance</t>
  </si>
  <si>
    <t>ClosingBalance</t>
  </si>
  <si>
    <t>Balancecheck</t>
  </si>
  <si>
    <t>Status</t>
  </si>
  <si>
    <t>2025-01</t>
  </si>
  <si>
    <t>ENT01</t>
  </si>
  <si>
    <t>EUR</t>
  </si>
  <si>
    <t>ENT01_EUR_MAIN</t>
  </si>
  <si>
    <t>572000</t>
  </si>
  <si>
    <t>OK</t>
  </si>
  <si>
    <t>Check</t>
  </si>
  <si>
    <t xml:space="preserve"> Cash tie-out (Bank vs GL Cash)</t>
  </si>
  <si>
    <t>AccountName</t>
  </si>
  <si>
    <t>GL_Amount</t>
  </si>
  <si>
    <t>Bank_amount</t>
  </si>
  <si>
    <t>BalanceCheck</t>
  </si>
  <si>
    <t>StatusDifference</t>
  </si>
  <si>
    <t>Cash -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</si>
</sst>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2"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GL_Close_Portfolio/GL_Close_Portfolio/03_excel_close_pack/ClosePack_PerPeriod.xlsx" TargetMode="External"/><Relationship Id="rId2" Type="http://schemas.openxmlformats.org/officeDocument/2006/relationships/externalLinkPath" Target="https://d.docs.live.net/7730df2eced47246/Documentos/GL_Close_Portfolio/GL_Close_Portfolio/03_excel_close_pack/ClosePack_PerPeriod.xlsx" TargetMode="External"/><Relationship Id="rId1" Type="http://schemas.openxmlformats.org/officeDocument/2006/relationships/externalLinkPath" Target="/7730df2eced47246/Documentos/GL_Close_Portfolio/GL_Close_Portfolio/03_excel_close_pack/ClosePack_PerPerio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00_Params"/>
      <sheetName val="01_TB_Raw_n1"/>
      <sheetName val="01_TB_Raw"/>
      <sheetName val="qTB_vs_GL_2024_12"/>
      <sheetName val="qTB_vs_GL_01_2025"/>
      <sheetName val="02_GL_Detail_Raw_n1"/>
      <sheetName val="02_GL_Detail_Raw"/>
      <sheetName val="03_Bank_Raw"/>
      <sheetName val="04_AR_Raw"/>
      <sheetName val="05_AP_Raw"/>
      <sheetName val="10_TB_Summary"/>
      <sheetName val="11_BS_Integrity"/>
      <sheetName val="qTB_vs_GL_AllPeriods"/>
      <sheetName val="12_PL_Variance"/>
      <sheetName val="12.1_PL_Va_ExplanationBucket"/>
      <sheetName val="13_Recons_Index"/>
      <sheetName val="14_Close_Checklist"/>
      <sheetName val="15_Variance_Notes"/>
      <sheetName val="16_BS_RollForward"/>
      <sheetName val="17_Exceptions"/>
      <sheetName val="20_fGL"/>
      <sheetName val="21_dAccount"/>
      <sheetName val="22_dEntity"/>
      <sheetName val="24_fTB"/>
      <sheetName val="Audit‑Ready_Close_Checklist"/>
    </sheetNames>
    <sheetDataSet>
      <sheetData sheetId="0">
        <row r="2">
          <cell r="B2" t="str">
            <v>2025-01</v>
          </cell>
        </row>
        <row r="3">
          <cell r="B3" t="str">
            <v>ENT01</v>
          </cell>
        </row>
        <row r="5">
          <cell r="B5">
            <v>0.01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E9E6439-17CD-4CE2-A4D4-D41CFBEBA4FB}" autoFormatId="16" applyNumberFormats="0" applyBorderFormats="0" applyFontFormats="0" applyPatternFormats="0" applyAlignmentFormats="0" applyWidthHeightFormats="0">
  <queryTableRefresh nextId="16">
    <queryTableFields count="13">
      <queryTableField id="1" name="ClosePeriod" tableColumnId="1"/>
      <queryTableField id="2" name="Entity" tableColumnId="2"/>
      <queryTableField id="3" name="Currency" tableColumnId="3"/>
      <queryTableField id="4" name="BankAccountKey" tableColumnId="4"/>
      <queryTableField id="14" name="Account" tableColumnId="13"/>
      <queryTableField id="5" name="NetMovement" tableColumnId="5"/>
      <queryTableField id="6" name="TxnCount" tableColumnId="6"/>
      <queryTableField id="7" name="FirstTxnDate" tableColumnId="7"/>
      <queryTableField id="8" name="LastTxnDate" tableColumnId="8"/>
      <queryTableField id="10" name="OpeningBalance" tableColumnId="10"/>
      <queryTableField id="9" name="ClosingBalance" tableColumnId="9"/>
      <queryTableField id="11" name="BalanceCheck" tableColumnId="11"/>
      <queryTableField id="12" name="Status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375C0CF-BDC5-4BCD-83A8-5C64441187D0}" autoFormatId="16" applyNumberFormats="0" applyBorderFormats="0" applyFontFormats="0" applyPatternFormats="0" applyAlignmentFormats="0" applyWidthHeightFormats="0">
  <queryTableRefresh nextId="7">
    <queryTableFields count="6">
      <queryTableField id="1" name="Account" tableColumnId="1"/>
      <queryTableField id="2" name="AccountName" tableColumnId="2"/>
      <queryTableField id="3" name="GL_Amount" tableColumnId="3"/>
      <queryTableField id="4" name="Bank_amount" tableColumnId="4"/>
      <queryTableField id="5" name="BalanceCheck" tableColumnId="5"/>
      <queryTableField id="6" name="StatusDifferenc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3CC2A1-03CC-4848-99FA-D4E35C90B898}" name="BankStatementHeader" displayName="BankStatementHeader" ref="A8:M9" tableType="queryTable" totalsRowShown="0">
  <autoFilter ref="A8:M9" xr:uid="{683CC2A1-03CC-4848-99FA-D4E35C90B898}"/>
  <tableColumns count="13">
    <tableColumn id="1" xr3:uid="{5C736BEC-9A65-447E-8B20-3C613DE2542F}" uniqueName="1" name="ClosePeriod" queryTableFieldId="1" dataDxfId="11"/>
    <tableColumn id="2" xr3:uid="{6B609F99-6704-44B2-9E4E-AD6DD8B8CA76}" uniqueName="2" name="Entity" queryTableFieldId="2" dataDxfId="10"/>
    <tableColumn id="3" xr3:uid="{32C914AF-5249-4FFE-8D61-352E10BA17EC}" uniqueName="3" name="Currency" queryTableFieldId="3" dataDxfId="9"/>
    <tableColumn id="4" xr3:uid="{4682D369-582F-4153-B3DE-ECEED3D99CF9}" uniqueName="4" name="BankAccountKey" queryTableFieldId="4" dataDxfId="8"/>
    <tableColumn id="13" xr3:uid="{3413AEF7-1D90-487A-A48F-AB366C03C41A}" uniqueName="13" name="Account" queryTableFieldId="14" dataDxfId="7"/>
    <tableColumn id="5" xr3:uid="{EE749ED9-3505-4B9A-9C9E-07CF4D4F8A66}" uniqueName="5" name="NetMovement" queryTableFieldId="5"/>
    <tableColumn id="6" xr3:uid="{87FD6EA8-63FE-4EB3-8391-DCF65D272ED8}" uniqueName="6" name="TxnCount" queryTableFieldId="6"/>
    <tableColumn id="7" xr3:uid="{CFDB0FF5-A72E-40B8-9F1C-023A01A3F875}" uniqueName="7" name="FirstTxnDate" queryTableFieldId="7" dataDxfId="6"/>
    <tableColumn id="8" xr3:uid="{95409CF4-5B75-40C0-9EEA-956C7BD78660}" uniqueName="8" name="LastTxnDate" queryTableFieldId="8" dataDxfId="5"/>
    <tableColumn id="10" xr3:uid="{4E2201F6-37C7-4E1D-A56F-2ACCB75CFD1F}" uniqueName="10" name="OpeningBalance" queryTableFieldId="10"/>
    <tableColumn id="9" xr3:uid="{CCFFDE99-BE78-45C8-A4D2-E5B4F7D4C16E}" uniqueName="9" name="ClosingBalance" queryTableFieldId="9"/>
    <tableColumn id="11" xr3:uid="{3277E727-E3B2-4480-8409-29F6ABC6A7D3}" uniqueName="11" name="Balancecheck" queryTableFieldId="11" dataDxfId="4"/>
    <tableColumn id="12" xr3:uid="{855B4C6F-8116-46FB-B0F6-1BB9DE11DEC4}" uniqueName="12" name="Status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BD9B16-530D-4B10-8457-957FD21B29FB}" name="Cash_tie_out__Bank_vs_GL_Cash" displayName="Cash_tie_out__Bank_vs_GL_Cash" ref="A13:F14" tableType="queryTable" totalsRowShown="0">
  <autoFilter ref="A13:F14" xr:uid="{82BD9B16-530D-4B10-8457-957FD21B29FB}"/>
  <tableColumns count="6">
    <tableColumn id="1" xr3:uid="{4780300D-58B5-420D-B0D4-E8E6245F7E0E}" uniqueName="1" name="Account" queryTableFieldId="1" dataDxfId="3"/>
    <tableColumn id="2" xr3:uid="{B94FA95F-62D4-4645-872F-E856B963211E}" uniqueName="2" name="AccountName" queryTableFieldId="2" dataDxfId="2"/>
    <tableColumn id="3" xr3:uid="{889EF386-F66B-45D3-B598-871E9544AE3A}" uniqueName="3" name="GL_Amount" queryTableFieldId="3"/>
    <tableColumn id="4" xr3:uid="{48DEC8EE-720D-44EA-87F9-A97C49E120EA}" uniqueName="4" name="Bank_amount" queryTableFieldId="4"/>
    <tableColumn id="5" xr3:uid="{1BC801C7-5666-4184-89E6-CDC0AC49B0A6}" uniqueName="5" name="BalanceCheck" queryTableFieldId="5" dataDxfId="1"/>
    <tableColumn id="6" xr3:uid="{EC8FC447-70A4-40F0-BAB6-0319CD3AC928}" uniqueName="6" name="StatusDifference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AB9E6F-52A4-4CA0-8900-19BCA9D77A65}" name="Table3" displayName="Table3" ref="A1:E3" totalsRowShown="0">
  <autoFilter ref="A1:E3" xr:uid="{6FAB9E6F-52A4-4CA0-8900-19BCA9D77A65}"/>
  <tableColumns count="5">
    <tableColumn id="1" xr3:uid="{9B299AA8-843A-40D1-903D-BFEE3D293F96}" name=" Check"/>
    <tableColumn id="2" xr3:uid="{D3665E06-7F89-4691-9CF5-9702C84014F0}" name=" Subledger_Total">
      <calculatedColumnFormula>SUMIFS([1]!tblAP[Amount],[1]!tblAP[ClosePeriod],pClosePeriod,[1]!tblAP[Entity],pEntity)</calculatedColumnFormula>
    </tableColumn>
    <tableColumn id="3" xr3:uid="{DE472FF9-C655-4B12-AD4A-8B0A0AF79239}" name=" GL_Total">
      <calculatedColumnFormula>ABS(SUMIFS([1]!tblGL[Amount],[1]!tblGL[ClosePeriod],pClosePeriod,[1]!tblGL[Entity],pEntity,[1]!tblGL[Account],"&gt;=400000",[1]!tblGL[Account],"&lt;420000"))</calculatedColumnFormula>
    </tableColumn>
    <tableColumn id="4" xr3:uid="{226AA683-BE30-4D11-8900-2968C794E1E9}" name=" Difference" dataDxfId="0">
      <calculatedColumnFormula>C2-B2</calculatedColumnFormula>
    </tableColumn>
    <tableColumn id="5" xr3:uid="{96183F23-A373-4296-83E7-BF6A6538A3D4}" name=" Status">
      <calculatedColumnFormula>IF(ABS(D2)&lt;=pTolerance,"OK","CHECK")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6D4F0-04EB-4879-8EB0-E304E323D6E2}">
  <dimension ref="A1:M14"/>
  <sheetViews>
    <sheetView tabSelected="1" workbookViewId="0">
      <selection activeCell="A18" sqref="A18"/>
    </sheetView>
  </sheetViews>
  <sheetFormatPr defaultRowHeight="15" x14ac:dyDescent="0.25"/>
  <cols>
    <col min="1" max="1" width="27.28515625" customWidth="1"/>
    <col min="2" max="2" width="17.5703125" customWidth="1"/>
    <col min="3" max="3" width="14" customWidth="1"/>
    <col min="4" max="4" width="17" customWidth="1"/>
    <col min="5" max="5" width="17.5703125" customWidth="1"/>
    <col min="6" max="6" width="19.42578125" customWidth="1"/>
    <col min="7" max="7" width="12.7109375" customWidth="1"/>
    <col min="8" max="8" width="14.7109375" customWidth="1"/>
    <col min="9" max="9" width="16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3" x14ac:dyDescent="0.25">
      <c r="A2" t="s">
        <v>5</v>
      </c>
      <c r="B2">
        <f>SUMIFS([1]!tblAR[Amount],[1]!tblAR[ClosePeriod],pClosePeriod,[1]!tblAR[Entity],pEntity)</f>
        <v>106660.95060000001</v>
      </c>
      <c r="C2">
        <f>ABS(SUMIFS([1]!tblGL[Amount],[1]!tblGL[ClosePeriod],pClosePeriod,[1]!tblGL[Entity],pEntity,[1]!tblGL[Account],"&gt;=430000",[1]!tblGL[Account],"&lt;440000"))</f>
        <v>106660.96000000012</v>
      </c>
      <c r="D2" s="1">
        <f>C2-B2</f>
        <v>9.400000111781992E-3</v>
      </c>
      <c r="E2" t="str">
        <f>IF(ABS(D2)&lt;=pTolerance,"OK","CHECK")</f>
        <v>OK</v>
      </c>
    </row>
    <row r="3" spans="1:13" x14ac:dyDescent="0.25">
      <c r="A3" t="s">
        <v>6</v>
      </c>
      <c r="B3">
        <f>SUMIFS([1]!tblAP[Amount],[1]!tblAP[ClosePeriod],pClosePeriod,[1]!tblAP[Entity],pEntity)</f>
        <v>17699.39</v>
      </c>
      <c r="C3">
        <f>ABS(SUMIFS([1]!tblGL[Amount],[1]!tblGL[ClosePeriod],pClosePeriod,[1]!tblGL[Entity],pEntity,[1]!tblGL[Account],"&gt;=400000",[1]!tblGL[Account],"&lt;420000"))</f>
        <v>17699.399999999998</v>
      </c>
      <c r="D3" s="1">
        <f>C3-B3</f>
        <v>9.9999999983992893E-3</v>
      </c>
      <c r="E3" t="str">
        <f>IF(ABS(D3)&lt;=pTolerance,"OK","CHECK")</f>
        <v>OK</v>
      </c>
    </row>
    <row r="7" spans="1:13" x14ac:dyDescent="0.25">
      <c r="A7" t="s">
        <v>7</v>
      </c>
    </row>
    <row r="8" spans="1:13" x14ac:dyDescent="0.25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</row>
    <row r="9" spans="1:13" x14ac:dyDescent="0.25">
      <c r="A9" t="s">
        <v>21</v>
      </c>
      <c r="B9" t="s">
        <v>22</v>
      </c>
      <c r="C9" t="s">
        <v>23</v>
      </c>
      <c r="D9" t="s">
        <v>24</v>
      </c>
      <c r="E9" t="s">
        <v>25</v>
      </c>
      <c r="F9">
        <v>286954.68999999994</v>
      </c>
      <c r="G9">
        <v>64</v>
      </c>
      <c r="H9" s="2">
        <v>45672</v>
      </c>
      <c r="I9" s="2">
        <v>45688</v>
      </c>
      <c r="J9">
        <v>349826.17</v>
      </c>
      <c r="K9">
        <v>636780.8599999994</v>
      </c>
      <c r="L9" s="1">
        <v>4.6566128730773926E-10</v>
      </c>
      <c r="M9" t="s">
        <v>26</v>
      </c>
    </row>
    <row r="11" spans="1:13" x14ac:dyDescent="0.25">
      <c r="A11" t="s">
        <v>27</v>
      </c>
    </row>
    <row r="12" spans="1:13" x14ac:dyDescent="0.25">
      <c r="A12" t="s">
        <v>28</v>
      </c>
    </row>
    <row r="13" spans="1:13" x14ac:dyDescent="0.25">
      <c r="A13" t="s">
        <v>12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</row>
    <row r="14" spans="1:13" x14ac:dyDescent="0.25">
      <c r="A14" t="s">
        <v>25</v>
      </c>
      <c r="B14" t="s">
        <v>34</v>
      </c>
      <c r="C14">
        <v>636780.8600000001</v>
      </c>
      <c r="D14">
        <v>636780.8599999994</v>
      </c>
      <c r="E14" s="1">
        <v>6.9849193096160889E-10</v>
      </c>
      <c r="F14" t="s">
        <v>26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43E58F-A4E7-4DAE-8D88-179ADACC79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 Integrity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Ascencio</dc:creator>
  <cp:lastModifiedBy>Bryan Ascencio</cp:lastModifiedBy>
  <dcterms:created xsi:type="dcterms:W3CDTF">2026-02-20T18:20:43Z</dcterms:created>
  <dcterms:modified xsi:type="dcterms:W3CDTF">2026-02-20T18:22:35Z</dcterms:modified>
</cp:coreProperties>
</file>