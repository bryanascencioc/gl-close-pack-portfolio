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df2eced47246/Documentos/Githubpublic/GL_close_portfolio/06_docs_evidence/Evidence_Pack/"/>
    </mc:Choice>
  </mc:AlternateContent>
  <xr:revisionPtr revIDLastSave="2" documentId="8_{9AD02C8B-33A3-478E-A4DA-9292FC98D635}" xr6:coauthVersionLast="47" xr6:coauthVersionMax="47" xr10:uidLastSave="{CE66908A-2E45-4512-844F-E801A9C582D7}"/>
  <bookViews>
    <workbookView xWindow="-120" yWindow="-120" windowWidth="20730" windowHeight="11040" activeTab="1" xr2:uid="{0B3581DD-A56B-4B5B-BEB0-EBA6743A6962}"/>
  </bookViews>
  <sheets>
    <sheet name="PL_Variance" sheetId="1" r:id="rId1"/>
    <sheet name="BS_Rollforward" sheetId="2" r:id="rId2"/>
  </sheets>
  <externalReferences>
    <externalReference r:id="rId3"/>
  </externalReferences>
  <definedNames>
    <definedName name="ExternalData_2" localSheetId="1" hidden="1">BS_Rollforward!$A$13:$E$19</definedName>
    <definedName name="pClosePeriod">'[1]00_Params'!$B$2</definedName>
    <definedName name="pEntity">'[1]00_Params'!$B$3</definedName>
    <definedName name="pTolerance">'[1]00_Params'!$B$5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3DA55D-316F-409D-A3A6-3391544CBBBC}" keepAlive="1" name="Query - dAccount" description="Connection to the 'dAccount' query in the workbook." type="5" refreshedVersion="0" background="1">
    <dbPr connection="Provider=Microsoft.Mashup.OleDb.1;Data Source=$Workbook$;Location=dAccount;Extended Properties=&quot;&quot;" command="SELECT * FROM [dAccount]"/>
  </connection>
  <connection id="2" xr16:uid="{3B086558-AD38-4576-85A1-07D450C9380B}" keepAlive="1" name="Query - fGL_AllPeriods" description="Connection to the 'fGL_AllPeriods' query in the workbook." type="5" refreshedVersion="0" background="1">
    <dbPr connection="Provider=Microsoft.Mashup.OleDb.1;Data Source=$Workbook$;Location=fGL_AllPeriods;Extended Properties=&quot;&quot;" command="SELECT * FROM [fGL_AllPeriods]"/>
  </connection>
  <connection id="3" xr16:uid="{3454B16D-74AD-4DA7-B772-D6A8E0CB1D46}" keepAlive="1" name="Query - fTB" description="Connection to the 'fTB' query in the workbook." type="5" refreshedVersion="0" background="1">
    <dbPr connection="Provider=Microsoft.Mashup.OleDb.1;Data Source=$Workbook$;Location=fTB;Extended Properties=&quot;&quot;" command="SELECT * FROM [fTB]"/>
  </connection>
  <connection id="4" xr16:uid="{26A14B19-9F4D-417C-8FC1-A2294E2BC408}" keepAlive="1" name="Query - pEntity" description="Connection to the 'pEntity' query in the workbook." type="5" refreshedVersion="0" background="1">
    <dbPr connection="Provider=Microsoft.Mashup.OleDb.1;Data Source=$Workbook$;Location=pEntity;Extended Properties=&quot;&quot;" command="SELECT * FROM [pEntity]"/>
  </connection>
  <connection id="5" xr16:uid="{FB973389-A154-46BF-80F4-421FC6955FF0}" keepAlive="1" name="Query - qBS_RollForward_Agg" description="Connection to the 'qBS_RollForward_Agg' query in the workbook." type="5" refreshedVersion="8" background="1" saveData="1">
    <dbPr connection="Provider=Microsoft.Mashup.OleDb.1;Data Source=$Workbook$;Location=qBS_RollForward_Agg;Extended Properties=&quot;&quot;" command="SELECT * FROM [qBS_RollForward_Agg]"/>
  </connection>
  <connection id="6" xr16:uid="{F74657EF-E83E-4F93-BEE2-5B0DA2CADF73}" keepAlive="1" name="Query - qGL_2024_12" description="Connection to the 'qGL_2024_12' query in the workbook." type="5" refreshedVersion="0" background="1">
    <dbPr connection="Provider=Microsoft.Mashup.OleDb.1;Data Source=$Workbook$;Location=qGL_2024_12;Extended Properties=&quot;&quot;" command="SELECT * FROM [qGL_2024_12]"/>
  </connection>
  <connection id="7" xr16:uid="{0973F514-0AFD-477E-9328-AA4DD007CCDD}" keepAlive="1" name="Query - qGL_2025_01" description="Connection to the 'qGL_2025_01' query in the workbook." type="5" refreshedVersion="0" background="1">
    <dbPr connection="Provider=Microsoft.Mashup.OleDb.1;Data Source=$Workbook$;Location=qGL_2025_01;Extended Properties=&quot;&quot;" command="SELECT * FROM [qGL_2025_01]"/>
  </connection>
  <connection id="8" xr16:uid="{E65818A3-3E46-446C-B7DC-D943B66DF6F4}" keepAlive="1" name="Query - qGL_AllPeriods" description="Connection to the 'qGL_AllPeriods' query in the workbook." type="5" refreshedVersion="0" background="1">
    <dbPr connection="Provider=Microsoft.Mashup.OleDb.1;Data Source=$Workbook$;Location=qGL_AllPeriods;Extended Properties=&quot;&quot;" command="SELECT * FROM [qGL_AllPeriods]"/>
  </connection>
  <connection id="9" xr16:uid="{B3CDDE5D-86C1-45CE-8D78-4687F577DCA7}" keepAlive="1" name="Query - qGL_BS_Area" description="Connection to the 'qGL_BS_Area' query in the workbook." type="5" refreshedVersion="0" background="1">
    <dbPr connection="Provider=Microsoft.Mashup.OleDb.1;Data Source=$Workbook$;Location=qGL_BS_Area;Extended Properties=&quot;&quot;" command="SELECT * FROM [qGL_BS_Area]"/>
  </connection>
  <connection id="10" xr16:uid="{FAB8717C-4BC2-41B3-AF29-6C830FB154A2}" keepAlive="1" name="Query - qTB_2024_12" description="Connection to the 'qTB_2024_12' query in the workbook." type="5" refreshedVersion="0" background="1">
    <dbPr connection="Provider=Microsoft.Mashup.OleDb.1;Data Source=$Workbook$;Location=qTB_2024_12;Extended Properties=&quot;&quot;" command="SELECT * FROM [qTB_2024_12]"/>
  </connection>
  <connection id="11" xr16:uid="{72CD3F08-EDA9-4F39-8502-193D2D61B219}" keepAlive="1" name="Query - qTB_2025_01" description="Connection to the 'qTB_2025_01' query in the workbook." type="5" refreshedVersion="0" background="1">
    <dbPr connection="Provider=Microsoft.Mashup.OleDb.1;Data Source=$Workbook$;Location=qTB_2025_01;Extended Properties=&quot;&quot;" command="SELECT * FROM [qTB_2025_01]"/>
  </connection>
  <connection id="12" xr16:uid="{B809E083-244A-41C8-8926-310BBD33E001}" keepAlive="1" name="Query - qTB_AllPeriods" description="Connection to the 'qTB_AllPeriods' query in the workbook." type="5" refreshedVersion="0" background="1">
    <dbPr connection="Provider=Microsoft.Mashup.OleDb.1;Data Source=$Workbook$;Location=qTB_AllPeriods;Extended Properties=&quot;&quot;" command="SELECT * FROM [qTB_AllPeriods]"/>
  </connection>
  <connection id="13" xr16:uid="{9DB0ED9E-3503-4380-9B98-BA72DFD9E8F0}" keepAlive="1" name="Query - qTB_BS_Area" description="Connection to the 'qTB_BS_Area' query in the workbook." type="5" refreshedVersion="0" background="1">
    <dbPr connection="Provider=Microsoft.Mashup.OleDb.1;Data Source=$Workbook$;Location=qTB_BS_Area;Extended Properties=&quot;&quot;" command="SELECT * FROM [qTB_BS_Area]"/>
  </connection>
</connections>
</file>

<file path=xl/sharedStrings.xml><?xml version="1.0" encoding="utf-8"?>
<sst xmlns="http://schemas.openxmlformats.org/spreadsheetml/2006/main" count="231" uniqueCount="133">
  <si>
    <t>CurrentPeriod</t>
  </si>
  <si>
    <t>2025-01</t>
  </si>
  <si>
    <t>📊 PL Variance Analysis</t>
  </si>
  <si>
    <t>PriorPeriod</t>
  </si>
  <si>
    <t>2024-12</t>
  </si>
  <si>
    <t>Using TB 2025-01 vs 2024-12</t>
  </si>
  <si>
    <t>FSLine</t>
  </si>
  <si>
    <t>Current</t>
  </si>
  <si>
    <t>Prior</t>
  </si>
  <si>
    <t>Variance</t>
  </si>
  <si>
    <t>VariancePct</t>
  </si>
  <si>
    <t>Bank fees</t>
  </si>
  <si>
    <t>COGS</t>
  </si>
  <si>
    <t>Finance costs</t>
  </si>
  <si>
    <t>Finance income</t>
  </si>
  <si>
    <t>Opex</t>
  </si>
  <si>
    <t>Other income/expense</t>
  </si>
  <si>
    <t>Payroll</t>
  </si>
  <si>
    <t>Revenue</t>
  </si>
  <si>
    <t>Total</t>
  </si>
  <si>
    <t>Account</t>
  </si>
  <si>
    <t>AccountName</t>
  </si>
  <si>
    <t>ExplanationBucket</t>
  </si>
  <si>
    <t>Comment</t>
  </si>
  <si>
    <t>Driver</t>
  </si>
  <si>
    <t>Owner</t>
  </si>
  <si>
    <t>Status</t>
  </si>
  <si>
    <t>Key</t>
  </si>
  <si>
    <t>Bank fees (operating)</t>
  </si>
  <si>
    <t>Higher merchant processing fees due to increased customer payment volume in January</t>
  </si>
  <si>
    <t>Business Activity (BA)</t>
  </si>
  <si>
    <t>Treasury</t>
  </si>
  <si>
    <t>Open</t>
  </si>
  <si>
    <t>Purchases / COGS (materials/services)</t>
  </si>
  <si>
    <t>No material purchases or cost of goods recorded in either period.</t>
  </si>
  <si>
    <t>Volume / Activity</t>
  </si>
  <si>
    <t>Operations / Procurement</t>
  </si>
  <si>
    <t>Close</t>
  </si>
  <si>
    <t>Financial charges (bank/other)</t>
  </si>
  <si>
    <t>Interest expense</t>
  </si>
  <si>
    <t>No interest expenses accrued this month; consistent with prior period.</t>
  </si>
  <si>
    <t>Accruals / True‑ups</t>
  </si>
  <si>
    <t>Interest income</t>
  </si>
  <si>
    <t>No interest income recognized; bank balances stable.</t>
  </si>
  <si>
    <t>Marketing &amp; advertising expense</t>
  </si>
  <si>
    <t>Increase driven by renewal of the digital marketing agency contract effective January</t>
  </si>
  <si>
    <t>Vendor / Contract Change</t>
  </si>
  <si>
    <t>Marketing</t>
  </si>
  <si>
    <t>Professional services expense</t>
  </si>
  <si>
    <t>Increase driven by higher consulting hours in January related to operational process improvements and system configuration work</t>
  </si>
  <si>
    <t>Operations / Finance</t>
  </si>
  <si>
    <t>Insurance expense</t>
  </si>
  <si>
    <t>No insurance premiums were posted in the current or prior period; annual policy renewals occur later in the year, resulting in no month‑to‑month movement</t>
  </si>
  <si>
    <t>Finance / Procurement</t>
  </si>
  <si>
    <t>IT &amp; software expense</t>
  </si>
  <si>
    <t>Increase driven by annual price uplifts on core SaaS tools and additional licenses activated in January to support new hires</t>
  </si>
  <si>
    <t>IT / Procurement</t>
  </si>
  <si>
    <t>Other services expense</t>
  </si>
  <si>
    <t>Higher spend due to increased use of external service providers for administrative and operational support during the month</t>
  </si>
  <si>
    <t>Operations / Admin</t>
  </si>
  <si>
    <t>Other taxes (non-VAT)</t>
  </si>
  <si>
    <t>No non‑VAT tax charges posted in either period; timing of statutory filings results in no month‑to‑month movement.</t>
  </si>
  <si>
    <t>Timing / Cut-off</t>
  </si>
  <si>
    <t>Finance / Tax</t>
  </si>
  <si>
    <t>FX loss (realized)</t>
  </si>
  <si>
    <t>No realized FX losses recorded; no material currency conversions occurred during the period.</t>
  </si>
  <si>
    <t>One‑off / Non‑recurring</t>
  </si>
  <si>
    <t>FX gain (realized)</t>
  </si>
  <si>
    <t>No realized FX gains recorded; foreign currency balances remained stable with no conversions</t>
  </si>
  <si>
    <t>Salaries and wages</t>
  </si>
  <si>
    <t>Increase driven by new hires starting in January and partial accrual of annual bonuses</t>
  </si>
  <si>
    <t>HR / Payroll</t>
  </si>
  <si>
    <t>Employer social security</t>
  </si>
  <si>
    <t>Increase aligned with higher gross salaries due to new hires and bonus accruals</t>
  </si>
  <si>
    <t>Headcount / Payroll timing</t>
  </si>
  <si>
    <t>Other staff costs</t>
  </si>
  <si>
    <t>No staff‑related reimbursements or benefits posted in either period</t>
  </si>
  <si>
    <t>Subscription revenue</t>
  </si>
  <si>
    <t>Growth driven by higher SaaS subscription volume, renewals, and upsells recorded in January</t>
  </si>
  <si>
    <t>Sales / RevOps</t>
  </si>
  <si>
    <t>Professional services revenue</t>
  </si>
  <si>
    <t>No professional services delivered or invoiced during the period</t>
  </si>
  <si>
    <t>Revenue discounts / credits</t>
  </si>
  <si>
    <t>No discounts or credit notes issued in the current or prior period</t>
  </si>
  <si>
    <t>2025-01|628000</t>
  </si>
  <si>
    <t>2025-01|600000</t>
  </si>
  <si>
    <t>Accruals / True-ups</t>
  </si>
  <si>
    <t>2025-01|669000</t>
  </si>
  <si>
    <t>2025-01|669100</t>
  </si>
  <si>
    <t>2025-01|769000</t>
  </si>
  <si>
    <t>Vendor / Contract change</t>
  </si>
  <si>
    <t>2025-01|621000</t>
  </si>
  <si>
    <t>2025-01|623000</t>
  </si>
  <si>
    <t>2025-01|625000</t>
  </si>
  <si>
    <t>2025-01|626000</t>
  </si>
  <si>
    <t>2025-01|629000</t>
  </si>
  <si>
    <t>2025-01|631000</t>
  </si>
  <si>
    <t>One-off / Non-recurring</t>
  </si>
  <si>
    <t>2025-01|668000</t>
  </si>
  <si>
    <t>2025-01|752000</t>
  </si>
  <si>
    <t>2025-01|640000</t>
  </si>
  <si>
    <t>2025-01|642000</t>
  </si>
  <si>
    <t>2025-01|649000</t>
  </si>
  <si>
    <t>2025-01|700000</t>
  </si>
  <si>
    <t>2025-01|705000</t>
  </si>
  <si>
    <t>2025-01|708000</t>
  </si>
  <si>
    <t>OpeningPeriod</t>
  </si>
  <si>
    <t>ClosingPeriod</t>
  </si>
  <si>
    <t>Entity</t>
  </si>
  <si>
    <t>Tolerance</t>
  </si>
  <si>
    <t xml:space="preserve">Area </t>
  </si>
  <si>
    <t xml:space="preserve"> Opening </t>
  </si>
  <si>
    <t xml:space="preserve"> Movements </t>
  </si>
  <si>
    <t xml:space="preserve"> Closing </t>
  </si>
  <si>
    <t xml:space="preserve"> Difference </t>
  </si>
  <si>
    <t xml:space="preserve"> Status</t>
  </si>
  <si>
    <t xml:space="preserve">Cash </t>
  </si>
  <si>
    <t>AR</t>
  </si>
  <si>
    <t>AP</t>
  </si>
  <si>
    <t>ClosePeriod</t>
  </si>
  <si>
    <t>AREA</t>
  </si>
  <si>
    <t>TB_Balance</t>
  </si>
  <si>
    <t>GL_Movements</t>
  </si>
  <si>
    <t>ENT01</t>
  </si>
  <si>
    <t>Cash</t>
  </si>
  <si>
    <t>OK</t>
  </si>
  <si>
    <t xml:space="preserve">2024-12|ENT01|Cash </t>
  </si>
  <si>
    <t>2024-12|ENT01|AR</t>
  </si>
  <si>
    <t>2024-12|ENT01|AP</t>
  </si>
  <si>
    <t>EUR</t>
  </si>
  <si>
    <t>Currency</t>
  </si>
  <si>
    <t>Eur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</si>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</sst>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0" fontId="0" fillId="0" borderId="0" xfId="0" applyNumberFormat="1"/>
    <xf numFmtId="10" fontId="0" fillId="0" borderId="0" xfId="1" applyNumberFormat="1" applyFont="1"/>
    <xf numFmtId="49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L_Close_Portfolio/GL_Close_Portfolio/03_excel_close_pack/ClosePack_PerPeriod.xlsx" TargetMode="External"/><Relationship Id="rId2" Type="http://schemas.openxmlformats.org/officeDocument/2006/relationships/externalLinkPath" Target="https://d.docs.live.net/7730df2eced47246/Documentos/GL_Close_Portfolio/GL_Close_Portfolio/03_excel_close_pack/ClosePack_PerPeriod.xlsx" TargetMode="External"/><Relationship Id="rId1" Type="http://schemas.openxmlformats.org/officeDocument/2006/relationships/externalLinkPath" Target="/7730df2eced47246/Documentos/GL_Close_Portfolio/GL_Close_Portfolio/03_excel_close_pack/ClosePack_PerPeri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_Params"/>
      <sheetName val="01_TB_Raw_n1"/>
      <sheetName val="01_TB_Raw"/>
      <sheetName val="qTB_vs_GL_2024_12"/>
      <sheetName val="qTB_vs_GL_01_2025"/>
      <sheetName val="02_GL_Detail_Raw_n1"/>
      <sheetName val="02_GL_Detail_Raw"/>
      <sheetName val="03_Bank_Raw"/>
      <sheetName val="04_AR_Raw"/>
      <sheetName val="05_AP_Raw"/>
      <sheetName val="10_TB_Summary"/>
      <sheetName val="11_BS_Integrity"/>
      <sheetName val="qTB_vs_GL_AllPeriods"/>
      <sheetName val="12_PL_Variance"/>
      <sheetName val="12.1_PL_Va_ExplanationBucket"/>
      <sheetName val="13_Recons_Index"/>
      <sheetName val="14_Close_Checklist"/>
      <sheetName val="15_Variance_Notes"/>
      <sheetName val="16_BS_RollForward"/>
      <sheetName val="17_Exceptions"/>
      <sheetName val="20_fGL"/>
      <sheetName val="21_dAccount"/>
      <sheetName val="22_dEntity"/>
      <sheetName val="24_fTB"/>
      <sheetName val="Audit‑Ready_Close_Checklist"/>
    </sheetNames>
    <sheetDataSet>
      <sheetData sheetId="0">
        <row r="2">
          <cell r="B2" t="str">
            <v>2025-01</v>
          </cell>
        </row>
        <row r="3">
          <cell r="B3" t="str">
            <v>ENT01</v>
          </cell>
        </row>
        <row r="5">
          <cell r="B5">
            <v>0.01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E75E088-1ED4-4213-A3EE-E75FF8E1E746}" autoFormatId="16" applyNumberFormats="0" applyBorderFormats="0" applyFontFormats="0" applyPatternFormats="0" applyAlignmentFormats="0" applyWidthHeightFormats="0">
  <queryTableRefresh nextId="8">
    <queryTableFields count="5">
      <queryTableField id="1" name="ClosePeriod" tableColumnId="1"/>
      <queryTableField id="2" name="Entity" tableColumnId="2"/>
      <queryTableField id="3" name="AREA" tableColumnId="3"/>
      <queryTableField id="4" name="TB_Balance" tableColumnId="4"/>
      <queryTableField id="5" name="GL_Movements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75EB24-152E-431C-B345-612040CEDA5E}" name="Table3" displayName="Table3" ref="A4:E14" totalsRowShown="0">
  <autoFilter ref="A4:E14" xr:uid="{8375EB24-152E-431C-B345-612040CEDA5E}"/>
  <tableColumns count="5">
    <tableColumn id="1" xr3:uid="{4AC3CFDE-E978-4824-A173-0C41300B304F}" name="FSLine"/>
    <tableColumn id="2" xr3:uid="{75AE8C75-AE1D-4FD6-817E-74A21BE88D58}" name="Current"/>
    <tableColumn id="3" xr3:uid="{E8D80D21-58F7-4742-A77F-7E90CE1CAF41}" name="Prior"/>
    <tableColumn id="4" xr3:uid="{8519865B-423F-4876-8DDA-EAB4F984FC4F}" name="Variance"/>
    <tableColumn id="5" xr3:uid="{3120F330-FADD-462E-8576-EADD2C4C65D1}" name="VariancePct" dataDxfId="6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C3DEB5-2064-41D3-95E5-A2EED8B81DAB}" name="Table4" displayName="Table4" ref="A17:M36" totalsRowShown="0">
  <autoFilter ref="A17:M36" xr:uid="{D5C3DEB5-2064-41D3-95E5-A2EED8B81DAB}"/>
  <tableColumns count="13">
    <tableColumn id="1" xr3:uid="{A7AA8C15-D1F4-466B-B1FB-6E91CF86A57F}" name="Account"/>
    <tableColumn id="2" xr3:uid="{F7880C7E-B319-4728-856E-EA663FFDF5D2}" name="AccountName"/>
    <tableColumn id="3" xr3:uid="{B94E0BCC-9413-46CB-9615-532C53692940}" name="FSLine"/>
    <tableColumn id="4" xr3:uid="{9F48DDA4-4039-456F-AA98-4AED07469028}" name="Current"/>
    <tableColumn id="5" xr3:uid="{1BB13042-7729-4951-AF1D-741EB50C7C40}" name="Prior"/>
    <tableColumn id="6" xr3:uid="{F27C119E-66D0-406C-887C-F80F416619FE}" name="Variance"/>
    <tableColumn id="7" xr3:uid="{0F65B12E-D3E3-43A2-A2DF-457DE5EA9C7B}" name="VariancePct" dataDxfId="5"/>
    <tableColumn id="8" xr3:uid="{4664EBC3-AA1B-4035-8F57-A06BD1CE98C9}" name="ExplanationBucket"/>
    <tableColumn id="9" xr3:uid="{A4876849-AB15-41EC-9891-C7D82FC8D06F}" name="Comment"/>
    <tableColumn id="10" xr3:uid="{B8F13308-46D3-4001-BC84-C19D10D98669}" name="Driver"/>
    <tableColumn id="11" xr3:uid="{54726635-20FD-46A2-BC2A-C8D334E9F0B1}" name="Owner"/>
    <tableColumn id="12" xr3:uid="{D8173FA6-A762-4953-AFDE-57E456376BB3}" name="Status"/>
    <tableColumn id="13" xr3:uid="{3D17F559-E743-48A8-844A-EA6DCD6E704E}" name="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051201-5C36-4A8A-AF28-5A9F69232CA9}" name="tb_BS_RollForward" displayName="tb_BS_RollForward" ref="A6:G9" totalsRowShown="0">
  <autoFilter ref="A6:G9" xr:uid="{D3051201-5C36-4A8A-AF28-5A9F69232CA9}"/>
  <tableColumns count="7">
    <tableColumn id="1" xr3:uid="{94BF8BC8-65A0-4E76-AA37-3790A27473C6}" name="Area "/>
    <tableColumn id="2" xr3:uid="{F7BC926A-9479-4A7F-849C-A2479F5273F9}" name=" Opening "/>
    <tableColumn id="3" xr3:uid="{09294D27-3A2E-4D55-A441-DFF7A4CFC706}" name=" Movements "/>
    <tableColumn id="4" xr3:uid="{E5F3E2EC-CC81-474A-AB93-0801515C69AD}" name=" Closing "/>
    <tableColumn id="5" xr3:uid="{393A7899-9CFB-47ED-A451-EC19C491B267}" name=" Difference " dataDxfId="4"/>
    <tableColumn id="6" xr3:uid="{A10A8701-1C04-42FB-B760-E9B829E965DE}" name=" Status" dataDxfId="3"/>
    <tableColumn id="7" xr3:uid="{A78F7E8B-B1C8-442C-A5FB-97938EC04310}" name="Key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C3F84A-AA52-41EC-A47C-220D57648C16}" name="tblBS_Agg" displayName="tblBS_Agg" ref="A13:E19" tableType="queryTable" totalsRowShown="0">
  <autoFilter ref="A13:E19" xr:uid="{CFC3F84A-AA52-41EC-A47C-220D57648C16}"/>
  <tableColumns count="5">
    <tableColumn id="1" xr3:uid="{E4C1660E-85D2-433D-BE70-5DDAD99EF787}" uniqueName="1" name="ClosePeriod" queryTableFieldId="1" dataDxfId="1"/>
    <tableColumn id="2" xr3:uid="{0B0AE0EC-AC9B-4692-A63C-CA6D921CD035}" uniqueName="2" name="Entity" queryTableFieldId="2" dataDxfId="0"/>
    <tableColumn id="3" xr3:uid="{106B7E76-FD1C-4A4A-A933-8ABAEB5202F1}" uniqueName="3" name="AREA" queryTableFieldId="3"/>
    <tableColumn id="4" xr3:uid="{6A890F5A-576B-4AA0-8B40-559026EB6A90}" uniqueName="4" name="TB_Balance" queryTableFieldId="4"/>
    <tableColumn id="5" xr3:uid="{CA52F7DC-7347-4B4E-9642-60AD9BACCED8}" uniqueName="5" name="GL_Movement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93D6-C800-41E5-AF0C-08A23939AC43}">
  <dimension ref="A1:M36"/>
  <sheetViews>
    <sheetView topLeftCell="A4" workbookViewId="0">
      <selection activeCell="B20" sqref="B20"/>
    </sheetView>
  </sheetViews>
  <sheetFormatPr defaultRowHeight="15" x14ac:dyDescent="0.25"/>
  <cols>
    <col min="1" max="1" width="14.42578125" customWidth="1"/>
    <col min="2" max="2" width="40.5703125" customWidth="1"/>
    <col min="3" max="3" width="26.7109375" customWidth="1"/>
    <col min="4" max="7" width="14.42578125" customWidth="1"/>
    <col min="8" max="8" width="25.42578125" customWidth="1"/>
    <col min="9" max="9" width="139.5703125" customWidth="1"/>
    <col min="10" max="10" width="29.140625" customWidth="1"/>
    <col min="11" max="13" width="1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</row>
    <row r="2" spans="1:5" x14ac:dyDescent="0.25">
      <c r="A2" s="1" t="s">
        <v>3</v>
      </c>
      <c r="B2" s="1" t="s">
        <v>4</v>
      </c>
      <c r="C2" s="1" t="s">
        <v>5</v>
      </c>
      <c r="D2" s="1"/>
    </row>
    <row r="3" spans="1:5" x14ac:dyDescent="0.25">
      <c r="A3" s="1" t="s">
        <v>130</v>
      </c>
      <c r="B3" s="1" t="s">
        <v>131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11</v>
      </c>
      <c r="B5">
        <v>-7244.7</v>
      </c>
      <c r="C5">
        <v>-6479</v>
      </c>
      <c r="D5">
        <v>-765.69999999999982</v>
      </c>
      <c r="E5" s="3">
        <v>-0.11818181818181815</v>
      </c>
    </row>
    <row r="6" spans="1:5" x14ac:dyDescent="0.25">
      <c r="A6" t="s">
        <v>12</v>
      </c>
      <c r="B6">
        <v>0</v>
      </c>
      <c r="C6">
        <v>0</v>
      </c>
      <c r="D6">
        <v>0</v>
      </c>
      <c r="E6" s="3">
        <v>0</v>
      </c>
    </row>
    <row r="7" spans="1:5" x14ac:dyDescent="0.25">
      <c r="B7">
        <v>0</v>
      </c>
      <c r="C7">
        <v>0</v>
      </c>
      <c r="D7">
        <v>0</v>
      </c>
      <c r="E7" s="3">
        <v>0</v>
      </c>
    </row>
    <row r="8" spans="1:5" x14ac:dyDescent="0.25">
      <c r="A8" t="s">
        <v>13</v>
      </c>
      <c r="B8">
        <v>-107.01</v>
      </c>
      <c r="C8">
        <v>-95.7</v>
      </c>
      <c r="D8">
        <v>-11.310000000000002</v>
      </c>
      <c r="E8" s="3">
        <v>-0.11818181818181821</v>
      </c>
    </row>
    <row r="9" spans="1:5" x14ac:dyDescent="0.25">
      <c r="A9" t="s">
        <v>14</v>
      </c>
      <c r="B9">
        <v>0</v>
      </c>
      <c r="C9">
        <v>0</v>
      </c>
      <c r="D9">
        <v>0</v>
      </c>
      <c r="E9" s="3">
        <v>0</v>
      </c>
    </row>
    <row r="10" spans="1:5" x14ac:dyDescent="0.25">
      <c r="A10" t="s">
        <v>15</v>
      </c>
      <c r="B10">
        <v>-37869.270000000004</v>
      </c>
      <c r="C10">
        <v>-33866.800000000003</v>
      </c>
      <c r="D10">
        <v>-4002.4700000000012</v>
      </c>
      <c r="E10" s="3">
        <v>-0.11818270400510236</v>
      </c>
    </row>
    <row r="11" spans="1:5" x14ac:dyDescent="0.25">
      <c r="A11" t="s">
        <v>16</v>
      </c>
      <c r="B11">
        <v>0</v>
      </c>
      <c r="C11">
        <v>0</v>
      </c>
      <c r="D11">
        <v>0</v>
      </c>
      <c r="E11" s="3">
        <v>0</v>
      </c>
    </row>
    <row r="12" spans="1:5" x14ac:dyDescent="0.25">
      <c r="A12" t="s">
        <v>17</v>
      </c>
      <c r="B12">
        <v>-22063.74</v>
      </c>
      <c r="C12">
        <v>-19731.8</v>
      </c>
      <c r="D12">
        <v>-2331.9400000000023</v>
      </c>
      <c r="E12" s="3">
        <v>-0.1181818181818183</v>
      </c>
    </row>
    <row r="13" spans="1:5" x14ac:dyDescent="0.25">
      <c r="A13" t="s">
        <v>18</v>
      </c>
      <c r="B13">
        <v>367794.6</v>
      </c>
      <c r="C13">
        <v>328922</v>
      </c>
      <c r="D13">
        <v>38872.599999999977</v>
      </c>
      <c r="E13" s="3">
        <v>0.11818181818181811</v>
      </c>
    </row>
    <row r="14" spans="1:5" x14ac:dyDescent="0.25">
      <c r="A14" t="s">
        <v>19</v>
      </c>
      <c r="B14">
        <v>300509.88</v>
      </c>
      <c r="C14">
        <v>268748.7</v>
      </c>
      <c r="D14">
        <v>31761.179999999993</v>
      </c>
      <c r="E14" s="3">
        <v>0.11818170655337121</v>
      </c>
    </row>
    <row r="15" spans="1:5" x14ac:dyDescent="0.25">
      <c r="E15" s="3"/>
    </row>
    <row r="17" spans="1:13" x14ac:dyDescent="0.25">
      <c r="A17" t="s">
        <v>20</v>
      </c>
      <c r="B17" t="s">
        <v>21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</row>
    <row r="18" spans="1:13" x14ac:dyDescent="0.25">
      <c r="A18">
        <v>628000</v>
      </c>
      <c r="B18" t="s">
        <v>28</v>
      </c>
      <c r="C18" t="s">
        <v>11</v>
      </c>
      <c r="D18">
        <v>-7244.7</v>
      </c>
      <c r="E18">
        <v>-6479</v>
      </c>
      <c r="F18">
        <v>-765.69999999999982</v>
      </c>
      <c r="G18" s="2">
        <v>-0.11818181818181815</v>
      </c>
      <c r="H18" t="s">
        <v>62</v>
      </c>
      <c r="I18" t="s">
        <v>29</v>
      </c>
      <c r="J18" t="s">
        <v>30</v>
      </c>
      <c r="K18" t="s">
        <v>31</v>
      </c>
      <c r="L18" t="s">
        <v>32</v>
      </c>
      <c r="M18" t="s">
        <v>84</v>
      </c>
    </row>
    <row r="19" spans="1:13" x14ac:dyDescent="0.25">
      <c r="A19">
        <v>600000</v>
      </c>
      <c r="B19" t="s">
        <v>33</v>
      </c>
      <c r="C19" t="s">
        <v>12</v>
      </c>
      <c r="D19">
        <v>0</v>
      </c>
      <c r="E19">
        <v>0</v>
      </c>
      <c r="F19">
        <v>0</v>
      </c>
      <c r="G19" s="2">
        <v>0</v>
      </c>
      <c r="H19" t="s">
        <v>35</v>
      </c>
      <c r="I19" t="s">
        <v>34</v>
      </c>
      <c r="J19" t="s">
        <v>35</v>
      </c>
      <c r="K19" t="s">
        <v>36</v>
      </c>
      <c r="L19" t="s">
        <v>37</v>
      </c>
      <c r="M19" t="s">
        <v>85</v>
      </c>
    </row>
    <row r="20" spans="1:13" x14ac:dyDescent="0.25">
      <c r="A20">
        <v>669000</v>
      </c>
      <c r="B20" t="s">
        <v>38</v>
      </c>
      <c r="C20" t="s">
        <v>13</v>
      </c>
      <c r="D20">
        <v>-107.01</v>
      </c>
      <c r="E20">
        <v>-95.7</v>
      </c>
      <c r="F20">
        <v>-11.310000000000002</v>
      </c>
      <c r="G20" s="2">
        <v>-0.11818181818181821</v>
      </c>
      <c r="H20" t="s">
        <v>86</v>
      </c>
      <c r="L20" t="s">
        <v>32</v>
      </c>
      <c r="M20" t="s">
        <v>87</v>
      </c>
    </row>
    <row r="21" spans="1:13" x14ac:dyDescent="0.25">
      <c r="A21">
        <v>669100</v>
      </c>
      <c r="B21" t="s">
        <v>39</v>
      </c>
      <c r="C21" t="s">
        <v>13</v>
      </c>
      <c r="D21">
        <v>0</v>
      </c>
      <c r="E21">
        <v>0</v>
      </c>
      <c r="F21">
        <v>0</v>
      </c>
      <c r="G21" s="2">
        <v>0</v>
      </c>
      <c r="H21" t="s">
        <v>86</v>
      </c>
      <c r="I21" t="s">
        <v>40</v>
      </c>
      <c r="J21" t="s">
        <v>41</v>
      </c>
      <c r="K21" t="s">
        <v>31</v>
      </c>
      <c r="L21" t="s">
        <v>32</v>
      </c>
      <c r="M21" t="s">
        <v>88</v>
      </c>
    </row>
    <row r="22" spans="1:13" x14ac:dyDescent="0.25">
      <c r="A22">
        <v>769000</v>
      </c>
      <c r="B22" t="s">
        <v>42</v>
      </c>
      <c r="C22" t="s">
        <v>14</v>
      </c>
      <c r="D22">
        <v>0</v>
      </c>
      <c r="E22">
        <v>0</v>
      </c>
      <c r="F22">
        <v>0</v>
      </c>
      <c r="G22" s="2">
        <v>0</v>
      </c>
      <c r="H22" t="s">
        <v>62</v>
      </c>
      <c r="I22" t="s">
        <v>43</v>
      </c>
      <c r="J22" t="s">
        <v>62</v>
      </c>
      <c r="K22" t="s">
        <v>31</v>
      </c>
      <c r="L22" t="s">
        <v>32</v>
      </c>
      <c r="M22" t="s">
        <v>89</v>
      </c>
    </row>
    <row r="23" spans="1:13" x14ac:dyDescent="0.25">
      <c r="A23">
        <v>621000</v>
      </c>
      <c r="B23" t="s">
        <v>44</v>
      </c>
      <c r="C23" t="s">
        <v>15</v>
      </c>
      <c r="D23">
        <v>-11050.32</v>
      </c>
      <c r="E23">
        <v>-9882.4</v>
      </c>
      <c r="F23">
        <v>-1167.92</v>
      </c>
      <c r="G23" s="2">
        <v>-0.11818181818181819</v>
      </c>
      <c r="H23" t="s">
        <v>90</v>
      </c>
      <c r="I23" t="s">
        <v>45</v>
      </c>
      <c r="J23" t="s">
        <v>46</v>
      </c>
      <c r="K23" t="s">
        <v>47</v>
      </c>
      <c r="L23" t="s">
        <v>32</v>
      </c>
      <c r="M23" t="s">
        <v>91</v>
      </c>
    </row>
    <row r="24" spans="1:13" x14ac:dyDescent="0.25">
      <c r="A24">
        <v>623000</v>
      </c>
      <c r="B24" t="s">
        <v>48</v>
      </c>
      <c r="C24" t="s">
        <v>15</v>
      </c>
      <c r="D24">
        <v>-10467.299999999999</v>
      </c>
      <c r="E24">
        <v>-9361</v>
      </c>
      <c r="F24">
        <v>-1106.2999999999993</v>
      </c>
      <c r="G24" s="2">
        <v>-0.11818181818181811</v>
      </c>
      <c r="H24" t="s">
        <v>90</v>
      </c>
      <c r="I24" t="s">
        <v>49</v>
      </c>
      <c r="J24" t="s">
        <v>46</v>
      </c>
      <c r="K24" t="s">
        <v>50</v>
      </c>
      <c r="L24" t="s">
        <v>32</v>
      </c>
      <c r="M24" t="s">
        <v>92</v>
      </c>
    </row>
    <row r="25" spans="1:13" x14ac:dyDescent="0.25">
      <c r="A25">
        <v>625000</v>
      </c>
      <c r="B25" t="s">
        <v>51</v>
      </c>
      <c r="C25" t="s">
        <v>15</v>
      </c>
      <c r="D25">
        <v>0</v>
      </c>
      <c r="E25">
        <v>0</v>
      </c>
      <c r="F25">
        <v>0</v>
      </c>
      <c r="G25" s="2">
        <v>0</v>
      </c>
      <c r="H25" t="s">
        <v>90</v>
      </c>
      <c r="I25" t="s">
        <v>52</v>
      </c>
      <c r="J25" t="s">
        <v>46</v>
      </c>
      <c r="K25" t="s">
        <v>53</v>
      </c>
      <c r="L25" t="s">
        <v>37</v>
      </c>
      <c r="M25" t="s">
        <v>93</v>
      </c>
    </row>
    <row r="26" spans="1:13" x14ac:dyDescent="0.25">
      <c r="A26">
        <v>626000</v>
      </c>
      <c r="B26" t="s">
        <v>54</v>
      </c>
      <c r="C26" t="s">
        <v>15</v>
      </c>
      <c r="D26">
        <v>-13311.06</v>
      </c>
      <c r="E26">
        <v>-11904.2</v>
      </c>
      <c r="F26">
        <v>-1406.8599999999988</v>
      </c>
      <c r="G26" s="2">
        <v>-0.11818181818181807</v>
      </c>
      <c r="H26" t="s">
        <v>90</v>
      </c>
      <c r="I26" t="s">
        <v>55</v>
      </c>
      <c r="J26" t="s">
        <v>46</v>
      </c>
      <c r="K26" t="s">
        <v>56</v>
      </c>
      <c r="L26" t="s">
        <v>32</v>
      </c>
      <c r="M26" t="s">
        <v>94</v>
      </c>
    </row>
    <row r="27" spans="1:13" x14ac:dyDescent="0.25">
      <c r="A27">
        <v>629000</v>
      </c>
      <c r="B27" t="s">
        <v>57</v>
      </c>
      <c r="C27" t="s">
        <v>15</v>
      </c>
      <c r="D27">
        <v>-3040.59</v>
      </c>
      <c r="E27">
        <v>-2719.2</v>
      </c>
      <c r="F27">
        <v>-321.39000000000033</v>
      </c>
      <c r="G27" s="2">
        <v>-0.11819285083848204</v>
      </c>
      <c r="H27" t="s">
        <v>90</v>
      </c>
      <c r="I27" t="s">
        <v>58</v>
      </c>
      <c r="J27" t="s">
        <v>46</v>
      </c>
      <c r="K27" t="s">
        <v>59</v>
      </c>
      <c r="L27" t="s">
        <v>32</v>
      </c>
      <c r="M27" t="s">
        <v>95</v>
      </c>
    </row>
    <row r="28" spans="1:13" x14ac:dyDescent="0.25">
      <c r="A28">
        <v>631000</v>
      </c>
      <c r="B28" t="s">
        <v>60</v>
      </c>
      <c r="C28" t="s">
        <v>15</v>
      </c>
      <c r="D28">
        <v>0</v>
      </c>
      <c r="E28">
        <v>0</v>
      </c>
      <c r="F28">
        <v>0</v>
      </c>
      <c r="G28" s="2">
        <v>0</v>
      </c>
      <c r="H28" t="s">
        <v>90</v>
      </c>
      <c r="I28" t="s">
        <v>61</v>
      </c>
      <c r="J28" t="s">
        <v>62</v>
      </c>
      <c r="K28" t="s">
        <v>63</v>
      </c>
      <c r="L28" t="s">
        <v>32</v>
      </c>
      <c r="M28" t="s">
        <v>96</v>
      </c>
    </row>
    <row r="29" spans="1:13" x14ac:dyDescent="0.25">
      <c r="A29">
        <v>668000</v>
      </c>
      <c r="B29" t="s">
        <v>64</v>
      </c>
      <c r="C29" t="s">
        <v>16</v>
      </c>
      <c r="D29">
        <v>0</v>
      </c>
      <c r="E29">
        <v>0</v>
      </c>
      <c r="F29">
        <v>0</v>
      </c>
      <c r="G29" s="2">
        <v>0</v>
      </c>
      <c r="H29" t="s">
        <v>97</v>
      </c>
      <c r="I29" t="s">
        <v>65</v>
      </c>
      <c r="J29" t="s">
        <v>66</v>
      </c>
      <c r="K29" t="s">
        <v>31</v>
      </c>
      <c r="L29" t="s">
        <v>32</v>
      </c>
      <c r="M29" t="s">
        <v>98</v>
      </c>
    </row>
    <row r="30" spans="1:13" x14ac:dyDescent="0.25">
      <c r="A30">
        <v>752000</v>
      </c>
      <c r="B30" t="s">
        <v>67</v>
      </c>
      <c r="C30" t="s">
        <v>16</v>
      </c>
      <c r="D30">
        <v>0</v>
      </c>
      <c r="E30">
        <v>0</v>
      </c>
      <c r="F30">
        <v>0</v>
      </c>
      <c r="G30" s="2">
        <v>0</v>
      </c>
      <c r="H30" t="s">
        <v>97</v>
      </c>
      <c r="I30" t="s">
        <v>68</v>
      </c>
      <c r="J30" t="s">
        <v>66</v>
      </c>
      <c r="K30" t="s">
        <v>31</v>
      </c>
      <c r="L30" t="s">
        <v>32</v>
      </c>
      <c r="M30" t="s">
        <v>99</v>
      </c>
    </row>
    <row r="31" spans="1:13" x14ac:dyDescent="0.25">
      <c r="A31">
        <v>640000</v>
      </c>
      <c r="B31" t="s">
        <v>69</v>
      </c>
      <c r="C31" t="s">
        <v>17</v>
      </c>
      <c r="D31">
        <v>-16661.580000000002</v>
      </c>
      <c r="E31">
        <v>-14900.6</v>
      </c>
      <c r="F31">
        <v>-1760.9800000000014</v>
      </c>
      <c r="G31" s="2">
        <v>-0.11818181818181828</v>
      </c>
      <c r="H31" t="s">
        <v>74</v>
      </c>
      <c r="I31" t="s">
        <v>70</v>
      </c>
      <c r="J31" t="s">
        <v>74</v>
      </c>
      <c r="K31" t="s">
        <v>71</v>
      </c>
      <c r="L31" t="s">
        <v>32</v>
      </c>
      <c r="M31" t="s">
        <v>100</v>
      </c>
    </row>
    <row r="32" spans="1:13" x14ac:dyDescent="0.25">
      <c r="A32">
        <v>642000</v>
      </c>
      <c r="B32" t="s">
        <v>72</v>
      </c>
      <c r="C32" t="s">
        <v>17</v>
      </c>
      <c r="D32">
        <v>-5402.16</v>
      </c>
      <c r="E32">
        <v>-4831.2</v>
      </c>
      <c r="F32">
        <v>-570.96</v>
      </c>
      <c r="G32" s="2">
        <v>-0.11818181818181819</v>
      </c>
      <c r="H32" t="s">
        <v>74</v>
      </c>
      <c r="I32" t="s">
        <v>73</v>
      </c>
      <c r="J32" t="s">
        <v>74</v>
      </c>
      <c r="K32" t="s">
        <v>71</v>
      </c>
      <c r="L32" t="s">
        <v>32</v>
      </c>
      <c r="M32" t="s">
        <v>101</v>
      </c>
    </row>
    <row r="33" spans="1:13" x14ac:dyDescent="0.25">
      <c r="A33">
        <v>649000</v>
      </c>
      <c r="B33" t="s">
        <v>75</v>
      </c>
      <c r="C33" t="s">
        <v>17</v>
      </c>
      <c r="D33">
        <v>0</v>
      </c>
      <c r="E33">
        <v>0</v>
      </c>
      <c r="F33">
        <v>0</v>
      </c>
      <c r="G33" s="2">
        <v>0</v>
      </c>
      <c r="H33" t="s">
        <v>74</v>
      </c>
      <c r="I33" t="s">
        <v>76</v>
      </c>
      <c r="J33" t="s">
        <v>74</v>
      </c>
      <c r="K33" t="s">
        <v>71</v>
      </c>
      <c r="L33" t="s">
        <v>32</v>
      </c>
      <c r="M33" t="s">
        <v>102</v>
      </c>
    </row>
    <row r="34" spans="1:13" x14ac:dyDescent="0.25">
      <c r="A34">
        <v>700000</v>
      </c>
      <c r="B34" t="s">
        <v>77</v>
      </c>
      <c r="C34" t="s">
        <v>18</v>
      </c>
      <c r="D34">
        <v>367794.6</v>
      </c>
      <c r="E34">
        <v>328922</v>
      </c>
      <c r="F34">
        <v>38872.599999999977</v>
      </c>
      <c r="G34" s="2">
        <v>0.11818181818181811</v>
      </c>
      <c r="H34" t="s">
        <v>35</v>
      </c>
      <c r="I34" t="s">
        <v>78</v>
      </c>
      <c r="J34" t="s">
        <v>35</v>
      </c>
      <c r="K34" t="s">
        <v>79</v>
      </c>
      <c r="L34" t="s">
        <v>32</v>
      </c>
      <c r="M34" t="s">
        <v>103</v>
      </c>
    </row>
    <row r="35" spans="1:13" x14ac:dyDescent="0.25">
      <c r="A35">
        <v>705000</v>
      </c>
      <c r="B35" t="s">
        <v>80</v>
      </c>
      <c r="C35" t="s">
        <v>18</v>
      </c>
      <c r="D35">
        <v>0</v>
      </c>
      <c r="E35">
        <v>0</v>
      </c>
      <c r="F35">
        <v>0</v>
      </c>
      <c r="G35" s="2">
        <v>0</v>
      </c>
      <c r="H35" t="s">
        <v>35</v>
      </c>
      <c r="I35" t="s">
        <v>81</v>
      </c>
      <c r="J35" t="s">
        <v>35</v>
      </c>
      <c r="K35" t="s">
        <v>79</v>
      </c>
      <c r="L35" t="s">
        <v>32</v>
      </c>
      <c r="M35" t="s">
        <v>104</v>
      </c>
    </row>
    <row r="36" spans="1:13" x14ac:dyDescent="0.25">
      <c r="A36">
        <v>708000</v>
      </c>
      <c r="B36" t="s">
        <v>82</v>
      </c>
      <c r="C36" t="s">
        <v>18</v>
      </c>
      <c r="D36">
        <v>0</v>
      </c>
      <c r="E36">
        <v>0</v>
      </c>
      <c r="F36">
        <v>0</v>
      </c>
      <c r="G36" s="2">
        <v>0</v>
      </c>
      <c r="H36" t="s">
        <v>35</v>
      </c>
      <c r="I36" t="s">
        <v>83</v>
      </c>
      <c r="J36" t="s">
        <v>35</v>
      </c>
      <c r="K36" t="s">
        <v>79</v>
      </c>
      <c r="L36" t="s">
        <v>32</v>
      </c>
      <c r="M36" t="s">
        <v>105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7C83-5AF3-43C3-B9E8-5C38FD434CF7}">
  <dimension ref="A1:H19"/>
  <sheetViews>
    <sheetView tabSelected="1" topLeftCell="A10" workbookViewId="0">
      <selection activeCell="E24" sqref="E24"/>
    </sheetView>
  </sheetViews>
  <sheetFormatPr defaultRowHeight="15" x14ac:dyDescent="0.25"/>
  <cols>
    <col min="1" max="1" width="13.85546875" customWidth="1"/>
    <col min="2" max="2" width="17.28515625" customWidth="1"/>
    <col min="3" max="3" width="16.28515625" customWidth="1"/>
    <col min="4" max="4" width="15.5703125" customWidth="1"/>
    <col min="5" max="5" width="15" customWidth="1"/>
    <col min="7" max="7" width="21.7109375" customWidth="1"/>
  </cols>
  <sheetData>
    <row r="1" spans="1:8" x14ac:dyDescent="0.25">
      <c r="A1" t="s">
        <v>106</v>
      </c>
      <c r="B1" s="4" t="s">
        <v>4</v>
      </c>
    </row>
    <row r="2" spans="1:8" x14ac:dyDescent="0.25">
      <c r="A2" t="s">
        <v>107</v>
      </c>
      <c r="B2" s="4" t="str">
        <f>pClosePeriod</f>
        <v>2025-01</v>
      </c>
    </row>
    <row r="3" spans="1:8" x14ac:dyDescent="0.25">
      <c r="A3" t="s">
        <v>108</v>
      </c>
      <c r="B3" s="4" t="str">
        <f>pEntity</f>
        <v>ENT01</v>
      </c>
    </row>
    <row r="4" spans="1:8" x14ac:dyDescent="0.25">
      <c r="A4" t="s">
        <v>109</v>
      </c>
      <c r="B4">
        <f>pTolerance</f>
        <v>0.01</v>
      </c>
    </row>
    <row r="5" spans="1:8" x14ac:dyDescent="0.25">
      <c r="A5" t="s">
        <v>130</v>
      </c>
      <c r="B5" t="s">
        <v>129</v>
      </c>
    </row>
    <row r="6" spans="1:8" x14ac:dyDescent="0.25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  <c r="G6" t="s">
        <v>27</v>
      </c>
    </row>
    <row r="7" spans="1:8" x14ac:dyDescent="0.25">
      <c r="A7" t="s">
        <v>116</v>
      </c>
      <c r="B7">
        <v>302081.46999999997</v>
      </c>
      <c r="C7">
        <v>35700.510000000009</v>
      </c>
      <c r="D7">
        <v>337781.98</v>
      </c>
      <c r="E7">
        <v>0</v>
      </c>
      <c r="F7" t="s">
        <v>125</v>
      </c>
      <c r="G7" t="s">
        <v>126</v>
      </c>
    </row>
    <row r="8" spans="1:8" x14ac:dyDescent="0.25">
      <c r="A8" t="s">
        <v>117</v>
      </c>
      <c r="B8">
        <v>95387.839999999997</v>
      </c>
      <c r="C8">
        <v>11273.12000000001</v>
      </c>
      <c r="D8">
        <v>106660.96</v>
      </c>
      <c r="E8">
        <v>0</v>
      </c>
      <c r="F8" t="s">
        <v>125</v>
      </c>
      <c r="G8" t="s">
        <v>127</v>
      </c>
    </row>
    <row r="9" spans="1:8" x14ac:dyDescent="0.25">
      <c r="A9" t="s">
        <v>118</v>
      </c>
      <c r="B9">
        <v>-15828.74</v>
      </c>
      <c r="C9">
        <v>-1870.6600000000017</v>
      </c>
      <c r="D9">
        <v>-17699.400000000001</v>
      </c>
      <c r="E9">
        <v>0</v>
      </c>
      <c r="F9" t="s">
        <v>125</v>
      </c>
      <c r="G9" t="s">
        <v>128</v>
      </c>
    </row>
    <row r="12" spans="1:8" x14ac:dyDescent="0.25">
      <c r="H12" t="s">
        <v>132</v>
      </c>
    </row>
    <row r="13" spans="1:8" x14ac:dyDescent="0.25">
      <c r="A13" t="s">
        <v>119</v>
      </c>
      <c r="B13" t="s">
        <v>108</v>
      </c>
      <c r="C13" t="s">
        <v>120</v>
      </c>
      <c r="D13" t="s">
        <v>121</v>
      </c>
      <c r="E13" t="s">
        <v>122</v>
      </c>
    </row>
    <row r="14" spans="1:8" x14ac:dyDescent="0.25">
      <c r="A14" t="s">
        <v>1</v>
      </c>
      <c r="B14" t="s">
        <v>123</v>
      </c>
      <c r="C14" t="s">
        <v>118</v>
      </c>
      <c r="D14">
        <v>-17699.400000000001</v>
      </c>
      <c r="E14" s="5">
        <v>-17699.399999999998</v>
      </c>
    </row>
    <row r="15" spans="1:8" x14ac:dyDescent="0.25">
      <c r="A15" t="s">
        <v>1</v>
      </c>
      <c r="B15" t="s">
        <v>123</v>
      </c>
      <c r="C15" t="s">
        <v>124</v>
      </c>
      <c r="D15">
        <v>337781.98</v>
      </c>
      <c r="E15">
        <v>337781.98</v>
      </c>
    </row>
    <row r="16" spans="1:8" x14ac:dyDescent="0.25">
      <c r="A16" t="s">
        <v>1</v>
      </c>
      <c r="B16" t="s">
        <v>123</v>
      </c>
      <c r="C16" t="s">
        <v>117</v>
      </c>
      <c r="D16">
        <v>106660.96</v>
      </c>
      <c r="E16">
        <v>106660.96000000012</v>
      </c>
    </row>
    <row r="17" spans="1:5" x14ac:dyDescent="0.25">
      <c r="A17" t="s">
        <v>4</v>
      </c>
      <c r="B17" t="s">
        <v>123</v>
      </c>
      <c r="C17" t="s">
        <v>118</v>
      </c>
      <c r="D17">
        <v>-15828.74</v>
      </c>
      <c r="E17">
        <v>-15828.740000000005</v>
      </c>
    </row>
    <row r="18" spans="1:5" x14ac:dyDescent="0.25">
      <c r="A18" t="s">
        <v>4</v>
      </c>
      <c r="B18" t="s">
        <v>123</v>
      </c>
      <c r="C18" t="s">
        <v>124</v>
      </c>
      <c r="D18">
        <v>302081.46999999997</v>
      </c>
      <c r="E18">
        <v>302081.46999999997</v>
      </c>
    </row>
    <row r="19" spans="1:5" x14ac:dyDescent="0.25">
      <c r="A19" t="s">
        <v>4</v>
      </c>
      <c r="B19" t="s">
        <v>123</v>
      </c>
      <c r="C19" t="s">
        <v>117</v>
      </c>
      <c r="D19">
        <v>95387.839999999997</v>
      </c>
      <c r="E19">
        <v>95387.839999999997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641E8E-30F5-4453-86D6-3C3CB2029C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PL_Variance</vt:lpstr>
      <vt:lpstr>BS_Rollforward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Ascencio</dc:creator>
  <cp:lastModifiedBy>Bryan Ascencio</cp:lastModifiedBy>
  <dcterms:created xsi:type="dcterms:W3CDTF">2026-02-20T17:47:54Z</dcterms:created>
  <dcterms:modified xsi:type="dcterms:W3CDTF">2026-02-20T19:15:57Z</dcterms:modified>
</cp:coreProperties>
</file>